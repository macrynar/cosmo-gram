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ałożenia" sheetId="1" state="visible" r:id="rId3"/>
    <sheet name="Koszt jednostkowy" sheetId="2" state="visible" r:id="rId4"/>
    <sheet name="Marża" sheetId="3" state="visible" r:id="rId5"/>
    <sheet name="Free vs Premium" sheetId="4" state="visible" r:id="rId6"/>
    <sheet name="Rekomendacj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<sst xmlns="http://schemas.openxmlformats.org/spreadsheetml/2006/main" count="206" uniqueCount="182">
  <si>
    <t xml:space="preserve">Cosmogram — Założenia (edytuj niebieskie pola)</t>
  </si>
  <si>
    <t xml:space="preserve">CENY AI ($/1M tokenów)</t>
  </si>
  <si>
    <t xml:space="preserve">Haiku 4.5 — input</t>
  </si>
  <si>
    <t xml:space="preserve">Haiku 4.5 — output</t>
  </si>
  <si>
    <t xml:space="preserve">Sonnet 4.6 — input</t>
  </si>
  <si>
    <t xml:space="preserve">Sonnet 4.6 — output</t>
  </si>
  <si>
    <t xml:space="preserve">Cache — odczyt (× input)</t>
  </si>
  <si>
    <t xml:space="preserve">Cache — zapis (× input)</t>
  </si>
  <si>
    <t xml:space="preserve">KURS / OPŁATY</t>
  </si>
  <si>
    <t xml:space="preserve">FX PLN/USD (planistyczny)</t>
  </si>
  <si>
    <t xml:space="preserve">FX PLN/USD (spot)</t>
  </si>
  <si>
    <t xml:space="preserve">VAT</t>
  </si>
  <si>
    <t xml:space="preserve">Stripe — prowizja %</t>
  </si>
  <si>
    <t xml:space="preserve">Stripe — opłata stała (zł)</t>
  </si>
  <si>
    <t xml:space="preserve">LIMIT CZATU — GŁÓWNY LEWAR</t>
  </si>
  <si>
    <t xml:space="preserve">Cap czatu premium (wiad./mc)</t>
  </si>
  <si>
    <t xml:space="preserve">PROFILE UŻYCIA (premium / mc)</t>
  </si>
  <si>
    <t xml:space="preserve">czat</t>
  </si>
  <si>
    <t xml:space="preserve">matche</t>
  </si>
  <si>
    <t xml:space="preserve">interpr. dni</t>
  </si>
  <si>
    <t xml:space="preserve">Lekki</t>
  </si>
  <si>
    <t xml:space="preserve">Średni</t>
  </si>
  <si>
    <t xml:space="preserve">Ciężki (czat=cap)</t>
  </si>
  <si>
    <t xml:space="preserve">RECURRING (premium, /mc)</t>
  </si>
  <si>
    <t xml:space="preserve">Horoskop dnia (personalny)</t>
  </si>
  <si>
    <t xml:space="preserve">Horoskop tygodnia</t>
  </si>
  <si>
    <t xml:space="preserve">Prognoza miesiąca</t>
  </si>
  <si>
    <t xml:space="preserve">Listy Astrei</t>
  </si>
  <si>
    <t xml:space="preserve">MIX SUBSKRYBENTÓW (blended)</t>
  </si>
  <si>
    <t xml:space="preserve">% lekkich</t>
  </si>
  <si>
    <t xml:space="preserve">suma:</t>
  </si>
  <si>
    <t xml:space="preserve">% średnich</t>
  </si>
  <si>
    <t xml:space="preserve">% ciężkich</t>
  </si>
  <si>
    <t xml:space="preserve">CAPY PREMIUM /mc — ANTY-ABUSE (rekom.)</t>
  </si>
  <si>
    <t xml:space="preserve">Kosmogram dorosłego /mc</t>
  </si>
  <si>
    <t xml:space="preserve">licz od UTWORZEŃ,</t>
  </si>
  <si>
    <t xml:space="preserve">Kosmogram dziecka /mc</t>
  </si>
  <si>
    <t xml:space="preserve">nie aktywnych rekordów.</t>
  </si>
  <si>
    <t xml:space="preserve">Cosmo Match /mc</t>
  </si>
  <si>
    <t xml:space="preserve">Sonnet drogi → 5, nie 10.</t>
  </si>
  <si>
    <t xml:space="preserve">Koszt jednostkowy AI per funkcja (USD)</t>
  </si>
  <si>
    <t xml:space="preserve">CZAT (Sonnet 4.6 + prompt caching)</t>
  </si>
  <si>
    <t xml:space="preserve">prefix (cache)</t>
  </si>
  <si>
    <t xml:space="preserve">fresh_in</t>
  </si>
  <si>
    <t xml:space="preserve">output</t>
  </si>
  <si>
    <t xml:space="preserve">hit-rate</t>
  </si>
  <si>
    <t xml:space="preserve">$/wiadomość</t>
  </si>
  <si>
    <t xml:space="preserve">Typowa wiadomość</t>
  </si>
  <si>
    <t xml:space="preserve">Ciężka wiadomość (worst)</t>
  </si>
  <si>
    <t xml:space="preserve">KOSMOGRAM DOROSŁEGO (Sonnet/moduł + korekta Haiku)</t>
  </si>
  <si>
    <t xml:space="preserve">Pozycja</t>
  </si>
  <si>
    <t xml:space="preserve">Model</t>
  </si>
  <si>
    <t xml:space="preserve">tok_in</t>
  </si>
  <si>
    <t xml:space="preserve">tok_out</t>
  </si>
  <si>
    <t xml:space="preserve">$/jednostka</t>
  </si>
  <si>
    <t xml:space="preserve">Moduł — Sonnet</t>
  </si>
  <si>
    <t xml:space="preserve">Sonnet</t>
  </si>
  <si>
    <t xml:space="preserve">Moduł — korekta Haiku</t>
  </si>
  <si>
    <t xml:space="preserve">Haiku</t>
  </si>
  <si>
    <t xml:space="preserve">Moduł RAZEM</t>
  </si>
  <si>
    <t xml:space="preserve">Natal FREE (3 moduły)</t>
  </si>
  <si>
    <t xml:space="preserve">Natal PREMIUM pełny (8 modułów)</t>
  </si>
  <si>
    <t xml:space="preserve">POZOSTAŁE FUNKCJE</t>
  </si>
  <si>
    <t xml:space="preserve">Funkcja</t>
  </si>
  <si>
    <t xml:space="preserve">Dziecko — Sonnet</t>
  </si>
  <si>
    <t xml:space="preserve">Dziecko — korekta Haiku</t>
  </si>
  <si>
    <t xml:space="preserve">Dziecko — RAZEM</t>
  </si>
  <si>
    <t xml:space="preserve">Cosmo Match — interpretacja (Sonnet)</t>
  </si>
  <si>
    <t xml:space="preserve">Interpretacja dnia</t>
  </si>
  <si>
    <t xml:space="preserve">Horoskop dnia (pers.)</t>
  </si>
  <si>
    <t xml:space="preserve">List — Sonnet</t>
  </si>
  <si>
    <t xml:space="preserve">List — korekta Haiku</t>
  </si>
  <si>
    <t xml:space="preserve">List Astrei — RAZEM</t>
  </si>
  <si>
    <t xml:space="preserve">Match FREE (3/8 modułów — wow)</t>
  </si>
  <si>
    <t xml:space="preserve">Dziecko FREE (2/6 modułów — wow)</t>
  </si>
  <si>
    <t xml:space="preserve">Free = częściowa interpretacja AI (wow), nie surowe dane. Generuj TYLKO wolne moduły, nie pełną kartę chowaną przed userem.</t>
  </si>
  <si>
    <t xml:space="preserve">Marża po kosztach AI — scenariusze ceny × profil</t>
  </si>
  <si>
    <t xml:space="preserve">KOSZT AI / mc (USD)</t>
  </si>
  <si>
    <t xml:space="preserve">Czat — typowa $/wiad</t>
  </si>
  <si>
    <t xml:space="preserve">Czat — ciężka $/wiad</t>
  </si>
  <si>
    <t xml:space="preserve">Match $/szt (premium)</t>
  </si>
  <si>
    <t xml:space="preserve">Interpr. dnia $/szt</t>
  </si>
  <si>
    <t xml:space="preserve">Recurring $/mc (horoskopy+listy)</t>
  </si>
  <si>
    <t xml:space="preserve">AI/mc — Lekki</t>
  </si>
  <si>
    <t xml:space="preserve">AI/mc — Średni</t>
  </si>
  <si>
    <t xml:space="preserve">AI/mc — Ciężki@cap</t>
  </si>
  <si>
    <t xml:space="preserve">AI/mc — Blended (natal one-time, poza mc)</t>
  </si>
  <si>
    <t xml:space="preserve">AI/mc — PEŁEN ABUSE (capy 5/5/5)</t>
  </si>
  <si>
    <t xml:space="preserve">PRZYCHÓD NETTO /mc (po VAT + Stripe)</t>
  </si>
  <si>
    <t xml:space="preserve">Plan</t>
  </si>
  <si>
    <t xml:space="preserve">brutto zł</t>
  </si>
  <si>
    <t xml:space="preserve">typ</t>
  </si>
  <si>
    <t xml:space="preserve">netto zł/mc</t>
  </si>
  <si>
    <t xml:space="preserve">netto $/mc (plan)</t>
  </si>
  <si>
    <t xml:space="preserve">netto $/mc (spot)</t>
  </si>
  <si>
    <t xml:space="preserve">Miesięczny 19,99 zł</t>
  </si>
  <si>
    <t xml:space="preserve">mc</t>
  </si>
  <si>
    <t xml:space="preserve">Miesięczny 24,99 zł</t>
  </si>
  <si>
    <t xml:space="preserve">Roczny 179 zł</t>
  </si>
  <si>
    <t xml:space="preserve">rok</t>
  </si>
  <si>
    <t xml:space="preserve">Roczny 199 zł</t>
  </si>
  <si>
    <t xml:space="preserve">Roczny 219 zł</t>
  </si>
  <si>
    <t xml:space="preserve">MARŻA = (netto − AI) / netto   [FX planistyczny]</t>
  </si>
  <si>
    <t xml:space="preserve">Ciężki@cap</t>
  </si>
  <si>
    <t xml:space="preserve">BLENDED</t>
  </si>
  <si>
    <t xml:space="preserve">19,99</t>
  </si>
  <si>
    <t xml:space="preserve">24,99</t>
  </si>
  <si>
    <t xml:space="preserve">179/rok</t>
  </si>
  <si>
    <t xml:space="preserve">199/rok</t>
  </si>
  <si>
    <t xml:space="preserve">219/rok</t>
  </si>
  <si>
    <t xml:space="preserve">MARŻA @24,99 przy pełnym abuse (capy 5/5/5):</t>
  </si>
  <si>
    <t xml:space="preserve">KOSZT FREE usera (one-time, po fixie leaków):</t>
  </si>
  <si>
    <t xml:space="preserve">Składniki: natal 3/8 + match 3/8 + dziecko 2/6 + 3 czaty + list + dzień (1× każdy, limit serwerowy).</t>
  </si>
  <si>
    <t xml:space="preserve">Plan FREE vs PREMIUM — free = częściowy wow interpretacji</t>
  </si>
  <si>
    <t xml:space="preserve">FREE (częściowy wow AI = hook)</t>
  </si>
  <si>
    <t xml:space="preserve">PREMIUM (24,99/mc · 199/rok)</t>
  </si>
  <si>
    <t xml:space="preserve">Koszt / FIX w kodzie</t>
  </si>
  <si>
    <t xml:space="preserve">Kosmogram dorosłego</t>
  </si>
  <si>
    <t xml:space="preserve">1 kosmogram własny: 3 moduły (Rdzeń, Supermoce, Dziecko) na Sonnecie + share. 5 modułów zablokowanych z widocznymi tytułami = hook</t>
  </si>
  <si>
    <t xml:space="preserve">Pełne 8 modułów (Miłość, Kariera, Cienie, Korzenie, Cel) + kosmogramy innych do 5/mc</t>
  </si>
  <si>
    <t xml:space="preserve">Free ~$0,10 (akwizycja). OK — split modułowy już w kodzie</t>
  </si>
  <si>
    <t xml:space="preserve">Kosmogram dziecka</t>
  </si>
  <si>
    <t xml:space="preserve">1 dziecko: 2/6 modułów interpretacji (kim jest + potrzeby emocjonalne) = wow dla rodzica. 4 moduły zablokowane</t>
  </si>
  <si>
    <t xml:space="preserve">Pełne 6 modułów (Sonnet), biblioteka, do 5/mc</t>
  </si>
  <si>
    <t xml:space="preserve">Free ~$0,04 (2 mod). FIX: /api/ai-child generuj tylko 2 moduły dla free + premium-gate reszty + limit 1 (dziś: brak gatowania)</t>
  </si>
  <si>
    <t xml:space="preserve">Cosmo Match</t>
  </si>
  <si>
    <t xml:space="preserve">1 match: 3/8 modułów interpretacji (Ogólne + Chemia + Komunikacja) = wow. 5 zablokowanych: Wyzwania, Trwałość, Przeznaczenie…</t>
  </si>
  <si>
    <t xml:space="preserve">Pełne 8 interpretacji + czat o relacji, do 5/mc</t>
  </si>
  <si>
    <t xml:space="preserve">Free ~$0,05 (3 mod). FIX: generuj tylko 3 moduły dla free + limit 1; reszta przy upgrade (dziś: pełny Sonnet bez limitu)</t>
  </si>
  <si>
    <t xml:space="preserve">Cosmo Chat</t>
  </si>
  <si>
    <t xml:space="preserve">3 wiadomości łącznie → ściana</t>
  </si>
  <si>
    <t xml:space="preserve">50/mc + paczki 9,99/24,99/199 zł</t>
  </si>
  <si>
    <t xml:space="preserve">Sonnet $0,016–0,035/wiad; nadwyżka = paczki</t>
  </si>
  <si>
    <t xml:space="preserve">Kalendarz (interpr. dnia)</t>
  </si>
  <si>
    <t xml:space="preserve">Siatka + klasy dni (deterministyczne) + 1 interpretacja teaser</t>
  </si>
  <si>
    <t xml:space="preserve">Bez limitu (fair-use 60/mc) + Dni Mocy + tydz./mc/rok</t>
  </si>
  <si>
    <t xml:space="preserve">Haiku ~$0,003; free ≈ $0</t>
  </si>
  <si>
    <t xml:space="preserve">Listy od Astrei</t>
  </si>
  <si>
    <t xml:space="preserve">1 list teaser („Twoja misja”) → ściana</t>
  </si>
  <si>
    <t xml:space="preserve">Drip 1/tydzień + e-mail + skrzynka</t>
  </si>
  <si>
    <t xml:space="preserve">Sonnet+Haiku ~$0,035/list</t>
  </si>
  <si>
    <t xml:space="preserve">Horoskop dnia (e-mail)</t>
  </si>
  <si>
    <t xml:space="preserve">Opt-in, wg znaku Słońca</t>
  </si>
  <si>
    <t xml:space="preserve">To samo + nagłówek personalny (Dni Mocy)</t>
  </si>
  <si>
    <t xml:space="preserve">Per-znak (12/dzień) ≈ $0</t>
  </si>
  <si>
    <t xml:space="preserve">Rekomendacja — cena, free→płatne, leaki</t>
  </si>
  <si>
    <t xml:space="preserve">CENA — ZATWIERDZONA</t>
  </si>
  <si>
    <t xml:space="preserve">Miesięczny / Roczny</t>
  </si>
  <si>
    <t xml:space="preserve">24,99 zł/mc + 199 zł/rok (~33% taniej, lewar retencji P0). Blended marża 80% / 71%.</t>
  </si>
  <si>
    <t xml:space="preserve">FREE = CZĘŚCIOWY WOW INTERPRETACJI (cel: max konwersja)</t>
  </si>
  <si>
    <t xml:space="preserve">Zasada</t>
  </si>
  <si>
    <t xml:space="preserve">Free dostaje PRAWDZIWĄ interpretację AI, ale część (3/8). Surowe dane bez interpretacji = słaby hook. Wow → „to o mnie, chcę więcej”.</t>
  </si>
  <si>
    <t xml:space="preserve">Natal</t>
  </si>
  <si>
    <t xml:space="preserve">3/8 modułów free (Rdzeń/Supermoce/Dziecko). 5 najmocniejszych (Miłość/Kariera/Cienie/Korzenie/Cel) płatne.</t>
  </si>
  <si>
    <t xml:space="preserve">Match</t>
  </si>
  <si>
    <t xml:space="preserve">3/8 free (Ogólne+Chemia+Komunikacja = wow). Zablokowane: Wyzwania, Trwałość, Przeznaczenie — to po co married płacą.</t>
  </si>
  <si>
    <t xml:space="preserve">Dziecko</t>
  </si>
  <si>
    <t xml:space="preserve">2/6 free (kim jest + potrzeby emocjonalne = wow dla rodzica). Reszta płatna.</t>
  </si>
  <si>
    <t xml:space="preserve">LEAKI W KODZIE — KRYTYCZNE (zamknąć przed skalą)</t>
  </si>
  <si>
    <t xml:space="preserve">Match leak</t>
  </si>
  <si>
    <t xml:space="preserve">/api/astro-match pali PEŁNE 8 modułów ($0,10) dla free i bez limitu. FIX: dla free generuj tylko 3 moduły (mniejszy call) + limit 1; reszta przy upgrade.</t>
  </si>
  <si>
    <t xml:space="preserve">Dziecko leak</t>
  </si>
  <si>
    <t xml:space="preserve">/api/ai-child: brak gatowania i limitu. FIX: dla free generuj tylko 2 moduły + premium-gate reszty + limit serwerowy.</t>
  </si>
  <si>
    <t xml:space="preserve">Anty-abuse</t>
  </si>
  <si>
    <t xml:space="preserve">Capy 5/mc (natal/dziecko/match) liczone od UTWORZEŃ, nie aktywnych rekordów. + rate-limit na signup (bot zakłada konta).</t>
  </si>
  <si>
    <t xml:space="preserve">PACZKI CZATU — DO PRZECENY</t>
  </si>
  <si>
    <t xml:space="preserve">Ceny</t>
  </si>
  <si>
    <t xml:space="preserve">Small 50 → 12,99 zł · Medium 150 → 34,99 zł (dziś 24,99 = strata) · Large 500 → 199 zł. Tabela niżej.</t>
  </si>
  <si>
    <t xml:space="preserve">HIGIENA</t>
  </si>
  <si>
    <t xml:space="preserve">Monitoring / legacy</t>
  </si>
  <si>
    <t xml:space="preserve">ai_call_logs → tygodniowy koszt/usera. Usuń legacy /api/interpret (Haiku). Horoskop dnia per-znak.</t>
  </si>
  <si>
    <t xml:space="preserve">PACZKI CZATU — marża (zł, FX plan)</t>
  </si>
  <si>
    <t xml:space="preserve">Pakiet</t>
  </si>
  <si>
    <t xml:space="preserve">wiad.</t>
  </si>
  <si>
    <t xml:space="preserve">cena brutto</t>
  </si>
  <si>
    <t xml:space="preserve">netto zł</t>
  </si>
  <si>
    <t xml:space="preserve">marża (typ.)</t>
  </si>
  <si>
    <t xml:space="preserve">marża (ciężka)</t>
  </si>
  <si>
    <t xml:space="preserve">Small (obecnie)</t>
  </si>
  <si>
    <t xml:space="preserve">Medium (obecnie)</t>
  </si>
  <si>
    <t xml:space="preserve">Large (obecnie)</t>
  </si>
  <si>
    <t xml:space="preserve">Medium 24,99 za 150 wiad. = strata przy ciężkim użyciu i podcina sub.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</si>
</sst>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0"/>
    <numFmt numFmtId="167" formatCode="0.0%"/>
    <numFmt numFmtId="168" formatCode="#,##0.00&quot; zł&quot;"/>
    <numFmt numFmtId="169" formatCode="\$#,##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B0002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D6F5D6"/>
      </patternFill>
    </fill>
    <fill>
      <patternFill patternType="solid">
        <fgColor rgb="FF2E1A47"/>
        <bgColor rgb="FF333300"/>
      </patternFill>
    </fill>
    <fill>
      <patternFill patternType="solid">
        <fgColor rgb="FFEDE7F6"/>
        <bgColor rgb="FFD6F5D6"/>
      </patternFill>
    </fill>
    <fill>
      <patternFill patternType="solid">
        <fgColor rgb="FFD6F5D6"/>
        <bgColor rgb="FFCCFFFF"/>
      </patternFill>
    </fill>
    <fill>
      <patternFill patternType="solid">
        <fgColor rgb="FFF8C9C9"/>
        <bgColor rgb="FFEDE7F6"/>
      </patternFill>
    </fill>
    <fill>
      <patternFill patternType="solid">
        <fgColor rgb="FFF6C453"/>
        <bgColor rgb="FFF8C9C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DE7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5D6"/>
      <rgbColor rgb="FFFFF59D"/>
      <rgbColor rgb="FF99CCFF"/>
      <rgbColor rgb="FFFF99CC"/>
      <rgbColor rgb="FFCC99FF"/>
      <rgbColor rgb="FFF8C9C9"/>
      <rgbColor rgb="FF3366FF"/>
      <rgbColor rgb="FF33CCCC"/>
      <rgbColor rgb="FF99CC00"/>
      <rgbColor rgb="FFF6C453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1A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1</v>
      </c>
    </row>
    <row r="4" customFormat="false" ht="15" hidden="false" customHeight="false" outlineLevel="0" collapsed="false">
      <c r="A4" s="3" t="s">
        <v>3</v>
      </c>
      <c r="B4" s="4" t="n">
        <v>5</v>
      </c>
    </row>
    <row r="5" customFormat="false" ht="15" hidden="false" customHeight="false" outlineLevel="0" collapsed="false">
      <c r="A5" s="3" t="s">
        <v>4</v>
      </c>
      <c r="B5" s="4" t="n">
        <v>3</v>
      </c>
    </row>
    <row r="6" customFormat="false" ht="15" hidden="false" customHeight="false" outlineLevel="0" collapsed="false">
      <c r="A6" s="3" t="s">
        <v>5</v>
      </c>
      <c r="B6" s="4" t="n">
        <v>15</v>
      </c>
    </row>
    <row r="7" customFormat="false" ht="15" hidden="false" customHeight="false" outlineLevel="0" collapsed="false">
      <c r="A7" s="3" t="s">
        <v>6</v>
      </c>
      <c r="B7" s="5" t="n">
        <v>0.1</v>
      </c>
    </row>
    <row r="8" customFormat="false" ht="15" hidden="false" customHeight="false" outlineLevel="0" collapsed="false">
      <c r="A8" s="3" t="s">
        <v>7</v>
      </c>
      <c r="B8" s="5" t="n">
        <v>1.25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3" t="s">
        <v>9</v>
      </c>
      <c r="B11" s="5" t="n">
        <v>4</v>
      </c>
    </row>
    <row r="12" customFormat="false" ht="15" hidden="false" customHeight="false" outlineLevel="0" collapsed="false">
      <c r="A12" s="3" t="s">
        <v>10</v>
      </c>
      <c r="B12" s="5" t="n">
        <v>3.75</v>
      </c>
    </row>
    <row r="13" customFormat="false" ht="15" hidden="false" customHeight="false" outlineLevel="0" collapsed="false">
      <c r="A13" s="3" t="s">
        <v>11</v>
      </c>
      <c r="B13" s="6" t="n">
        <v>0.23</v>
      </c>
    </row>
    <row r="14" customFormat="false" ht="15" hidden="false" customHeight="false" outlineLevel="0" collapsed="false">
      <c r="A14" s="3" t="s">
        <v>12</v>
      </c>
      <c r="B14" s="6" t="n">
        <v>0.015</v>
      </c>
    </row>
    <row r="15" customFormat="false" ht="15" hidden="false" customHeight="false" outlineLevel="0" collapsed="false">
      <c r="A15" s="3" t="s">
        <v>13</v>
      </c>
      <c r="B15" s="7" t="n">
        <v>1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3" t="s">
        <v>15</v>
      </c>
      <c r="B18" s="8" t="n">
        <v>50</v>
      </c>
    </row>
    <row r="20" customFormat="false" ht="15" hidden="false" customHeight="false" outlineLevel="0" collapsed="false">
      <c r="A20" s="2" t="s">
        <v>16</v>
      </c>
      <c r="B20" s="9" t="s">
        <v>17</v>
      </c>
      <c r="C20" s="9" t="s">
        <v>18</v>
      </c>
      <c r="D20" s="9" t="s">
        <v>19</v>
      </c>
    </row>
    <row r="21" customFormat="false" ht="15" hidden="false" customHeight="false" outlineLevel="0" collapsed="false">
      <c r="A21" s="3" t="s">
        <v>20</v>
      </c>
      <c r="B21" s="10" t="n">
        <v>15</v>
      </c>
      <c r="C21" s="10" t="n">
        <v>0.3</v>
      </c>
      <c r="D21" s="10" t="n">
        <v>5</v>
      </c>
    </row>
    <row r="22" customFormat="false" ht="15" hidden="false" customHeight="false" outlineLevel="0" collapsed="false">
      <c r="A22" s="3" t="s">
        <v>21</v>
      </c>
      <c r="B22" s="10" t="n">
        <v>40</v>
      </c>
      <c r="C22" s="10" t="n">
        <v>1</v>
      </c>
      <c r="D22" s="10" t="n">
        <v>12</v>
      </c>
    </row>
    <row r="23" customFormat="false" ht="15" hidden="false" customHeight="false" outlineLevel="0" collapsed="false">
      <c r="A23" s="3" t="s">
        <v>22</v>
      </c>
      <c r="B23" s="11" t="n">
        <f aca="false">B18</f>
        <v>50</v>
      </c>
      <c r="C23" s="10" t="n">
        <v>3</v>
      </c>
      <c r="D23" s="10" t="n">
        <v>30</v>
      </c>
    </row>
    <row r="25" customFormat="false" ht="15" hidden="false" customHeight="false" outlineLevel="0" collapsed="false">
      <c r="A25" s="2" t="s">
        <v>23</v>
      </c>
    </row>
    <row r="26" customFormat="false" ht="15" hidden="false" customHeight="false" outlineLevel="0" collapsed="false">
      <c r="A26" s="3" t="s">
        <v>24</v>
      </c>
      <c r="B26" s="10" t="n">
        <v>30</v>
      </c>
    </row>
    <row r="27" customFormat="false" ht="15" hidden="false" customHeight="false" outlineLevel="0" collapsed="false">
      <c r="A27" s="3" t="s">
        <v>25</v>
      </c>
      <c r="B27" s="10" t="n">
        <v>4.3</v>
      </c>
    </row>
    <row r="28" customFormat="false" ht="15" hidden="false" customHeight="false" outlineLevel="0" collapsed="false">
      <c r="A28" s="3" t="s">
        <v>26</v>
      </c>
      <c r="B28" s="10" t="n">
        <v>1</v>
      </c>
    </row>
    <row r="29" customFormat="false" ht="15" hidden="false" customHeight="false" outlineLevel="0" collapsed="false">
      <c r="A29" s="3" t="s">
        <v>27</v>
      </c>
      <c r="B29" s="10" t="n">
        <v>4.3</v>
      </c>
    </row>
    <row r="31" customFormat="false" ht="15" hidden="false" customHeight="false" outlineLevel="0" collapsed="false">
      <c r="A31" s="2" t="s">
        <v>28</v>
      </c>
    </row>
    <row r="32" customFormat="false" ht="15" hidden="false" customHeight="false" outlineLevel="0" collapsed="false">
      <c r="A32" s="3" t="s">
        <v>29</v>
      </c>
      <c r="B32" s="6" t="n">
        <v>0.55</v>
      </c>
      <c r="C32" s="12" t="s">
        <v>30</v>
      </c>
      <c r="D32" s="13" t="n">
        <f aca="false">B32+B33+B34</f>
        <v>1</v>
      </c>
    </row>
    <row r="33" customFormat="false" ht="15" hidden="false" customHeight="false" outlineLevel="0" collapsed="false">
      <c r="A33" s="3" t="s">
        <v>31</v>
      </c>
      <c r="B33" s="6" t="n">
        <v>0.35</v>
      </c>
    </row>
    <row r="34" customFormat="false" ht="15" hidden="false" customHeight="false" outlineLevel="0" collapsed="false">
      <c r="A34" s="3" t="s">
        <v>32</v>
      </c>
      <c r="B34" s="6" t="n">
        <v>0.1</v>
      </c>
    </row>
    <row r="36" customFormat="false" ht="15" hidden="false" customHeight="false" outlineLevel="0" collapsed="false">
      <c r="A36" s="2" t="s">
        <v>33</v>
      </c>
    </row>
    <row r="37" customFormat="false" ht="15" hidden="false" customHeight="false" outlineLevel="0" collapsed="false">
      <c r="A37" s="3" t="s">
        <v>34</v>
      </c>
      <c r="B37" s="14" t="n">
        <v>5</v>
      </c>
      <c r="C37" s="12" t="s">
        <v>35</v>
      </c>
    </row>
    <row r="38" customFormat="false" ht="15" hidden="false" customHeight="false" outlineLevel="0" collapsed="false">
      <c r="A38" s="3" t="s">
        <v>36</v>
      </c>
      <c r="B38" s="14" t="n">
        <v>5</v>
      </c>
      <c r="C38" s="12" t="s">
        <v>37</v>
      </c>
    </row>
    <row r="39" customFormat="false" ht="15" hidden="false" customHeight="false" outlineLevel="0" collapsed="false">
      <c r="A39" s="3" t="s">
        <v>38</v>
      </c>
      <c r="B39" s="14" t="n">
        <v>5</v>
      </c>
      <c r="C39" s="1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40</v>
      </c>
    </row>
    <row r="3" customFormat="false" ht="15" hidden="false" customHeight="false" outlineLevel="0" collapsed="false">
      <c r="A3" s="2" t="s">
        <v>41</v>
      </c>
    </row>
    <row r="4" customFormat="false" ht="15" hidden="false" customHeight="false" outlineLevel="0" collapsed="false">
      <c r="A4" s="15"/>
      <c r="B4" s="15" t="s">
        <v>42</v>
      </c>
      <c r="C4" s="15" t="s">
        <v>43</v>
      </c>
      <c r="D4" s="15" t="s">
        <v>44</v>
      </c>
      <c r="E4" s="15" t="s">
        <v>45</v>
      </c>
      <c r="F4" s="15" t="s">
        <v>46</v>
      </c>
    </row>
    <row r="5" customFormat="false" ht="15" hidden="false" customHeight="false" outlineLevel="0" collapsed="false">
      <c r="A5" s="0" t="s">
        <v>47</v>
      </c>
      <c r="B5" s="10" t="n">
        <v>2700</v>
      </c>
      <c r="C5" s="10" t="n">
        <v>1850</v>
      </c>
      <c r="D5" s="10" t="n">
        <v>500</v>
      </c>
      <c r="E5" s="5" t="n">
        <v>0.8</v>
      </c>
      <c r="F5" s="16" t="n">
        <f aca="false">(B5*(E5*Założenia!$B$7+(1-E5)*Założenia!$B$8)*Założenia!$B$5+C5*Założenia!$B$5+D5*Założenia!$B$6)/1000000</f>
        <v>0.015723</v>
      </c>
    </row>
    <row r="6" customFormat="false" ht="15" hidden="false" customHeight="false" outlineLevel="0" collapsed="false">
      <c r="A6" s="0" t="s">
        <v>48</v>
      </c>
      <c r="B6" s="10" t="n">
        <v>2700</v>
      </c>
      <c r="C6" s="10" t="n">
        <v>3500</v>
      </c>
      <c r="D6" s="10" t="n">
        <v>1400</v>
      </c>
      <c r="E6" s="5" t="n">
        <v>0.7</v>
      </c>
      <c r="F6" s="16" t="n">
        <f aca="false">(B6*(E6*Założenia!$B$7+(1-E6)*Założenia!$B$8)*Założenia!$B$5+C6*Założenia!$B$5+D6*Założenia!$B$6)/1000000</f>
        <v>0.0351045</v>
      </c>
    </row>
    <row r="8" customFormat="false" ht="15" hidden="false" customHeight="false" outlineLevel="0" collapsed="false">
      <c r="A8" s="2" t="s">
        <v>49</v>
      </c>
    </row>
    <row r="9" customFormat="false" ht="15" hidden="false" customHeight="false" outlineLevel="0" collapsed="false">
      <c r="A9" s="15" t="s">
        <v>50</v>
      </c>
      <c r="B9" s="15" t="s">
        <v>51</v>
      </c>
      <c r="C9" s="15" t="s">
        <v>52</v>
      </c>
      <c r="D9" s="15" t="s">
        <v>53</v>
      </c>
      <c r="E9" s="15" t="s">
        <v>54</v>
      </c>
    </row>
    <row r="10" customFormat="false" ht="15" hidden="false" customHeight="false" outlineLevel="0" collapsed="false">
      <c r="A10" s="0" t="s">
        <v>55</v>
      </c>
      <c r="B10" s="0" t="s">
        <v>56</v>
      </c>
      <c r="C10" s="10" t="n">
        <v>2500</v>
      </c>
      <c r="D10" s="10" t="n">
        <v>1200</v>
      </c>
      <c r="E10" s="16" t="n">
        <f aca="false">(C10*Założenia!$B$5+D10*Założenia!$B$6)/1000000</f>
        <v>0.0255</v>
      </c>
    </row>
    <row r="11" customFormat="false" ht="15" hidden="false" customHeight="false" outlineLevel="0" collapsed="false">
      <c r="A11" s="0" t="s">
        <v>57</v>
      </c>
      <c r="B11" s="0" t="s">
        <v>58</v>
      </c>
      <c r="C11" s="10" t="n">
        <v>1700</v>
      </c>
      <c r="D11" s="10" t="n">
        <v>1200</v>
      </c>
      <c r="E11" s="16" t="n">
        <f aca="false">(C11*Założenia!$B$3+D11*Założenia!$B$4)/1000000</f>
        <v>0.0077</v>
      </c>
    </row>
    <row r="12" customFormat="false" ht="15" hidden="false" customHeight="false" outlineLevel="0" collapsed="false">
      <c r="A12" s="17" t="s">
        <v>59</v>
      </c>
      <c r="B12" s="18"/>
      <c r="C12" s="18"/>
      <c r="D12" s="18"/>
      <c r="E12" s="19" t="n">
        <f aca="false">E10+E11</f>
        <v>0.0332</v>
      </c>
    </row>
    <row r="13" customFormat="false" ht="15" hidden="false" customHeight="false" outlineLevel="0" collapsed="false">
      <c r="A13" s="17" t="s">
        <v>60</v>
      </c>
      <c r="B13" s="18"/>
      <c r="C13" s="18"/>
      <c r="D13" s="18"/>
      <c r="E13" s="19" t="n">
        <f aca="false">3*E12</f>
        <v>0.0996</v>
      </c>
    </row>
    <row r="14" customFormat="false" ht="15" hidden="false" customHeight="false" outlineLevel="0" collapsed="false">
      <c r="A14" s="17" t="s">
        <v>61</v>
      </c>
      <c r="B14" s="18"/>
      <c r="C14" s="18"/>
      <c r="D14" s="18"/>
      <c r="E14" s="19" t="n">
        <f aca="false">8*E12</f>
        <v>0.2656</v>
      </c>
    </row>
    <row r="16" customFormat="false" ht="15" hidden="false" customHeight="false" outlineLevel="0" collapsed="false">
      <c r="A16" s="2" t="s">
        <v>62</v>
      </c>
    </row>
    <row r="17" customFormat="false" ht="15" hidden="false" customHeight="false" outlineLevel="0" collapsed="false">
      <c r="A17" s="15" t="s">
        <v>63</v>
      </c>
      <c r="B17" s="15" t="s">
        <v>51</v>
      </c>
      <c r="C17" s="15" t="s">
        <v>52</v>
      </c>
      <c r="D17" s="15" t="s">
        <v>53</v>
      </c>
      <c r="E17" s="15" t="s">
        <v>54</v>
      </c>
    </row>
    <row r="18" customFormat="false" ht="15" hidden="false" customHeight="false" outlineLevel="0" collapsed="false">
      <c r="A18" s="0" t="s">
        <v>64</v>
      </c>
      <c r="B18" s="0" t="s">
        <v>56</v>
      </c>
      <c r="C18" s="10" t="n">
        <v>3000</v>
      </c>
      <c r="D18" s="10" t="n">
        <v>4000</v>
      </c>
      <c r="E18" s="16" t="n">
        <f aca="false">(C18*Założenia!$B$5+D18*Założenia!$B$6)/1000000</f>
        <v>0.069</v>
      </c>
    </row>
    <row r="19" customFormat="false" ht="15" hidden="false" customHeight="false" outlineLevel="0" collapsed="false">
      <c r="A19" s="0" t="s">
        <v>65</v>
      </c>
      <c r="B19" s="0" t="s">
        <v>58</v>
      </c>
      <c r="C19" s="10" t="n">
        <v>4000</v>
      </c>
      <c r="D19" s="10" t="n">
        <v>4000</v>
      </c>
      <c r="E19" s="16" t="n">
        <f aca="false">(C19*Założenia!$B$3+D19*Założenia!$B$4)/1000000</f>
        <v>0.024</v>
      </c>
    </row>
    <row r="20" customFormat="false" ht="15" hidden="false" customHeight="false" outlineLevel="0" collapsed="false">
      <c r="A20" s="17" t="s">
        <v>66</v>
      </c>
      <c r="B20" s="17"/>
      <c r="C20" s="17"/>
      <c r="D20" s="17"/>
      <c r="E20" s="19" t="n">
        <f aca="false">E18+E19</f>
        <v>0.093</v>
      </c>
    </row>
    <row r="21" customFormat="false" ht="15" hidden="false" customHeight="false" outlineLevel="0" collapsed="false">
      <c r="A21" s="0" t="s">
        <v>67</v>
      </c>
      <c r="B21" s="0" t="s">
        <v>56</v>
      </c>
      <c r="C21" s="10" t="n">
        <v>4000</v>
      </c>
      <c r="D21" s="10" t="n">
        <v>6000</v>
      </c>
      <c r="E21" s="16" t="n">
        <f aca="false">(C21*Założenia!$B$5+D21*Założenia!$B$6)/1000000</f>
        <v>0.102</v>
      </c>
    </row>
    <row r="22" customFormat="false" ht="15" hidden="false" customHeight="false" outlineLevel="0" collapsed="false">
      <c r="A22" s="0" t="s">
        <v>68</v>
      </c>
      <c r="B22" s="0" t="s">
        <v>58</v>
      </c>
      <c r="C22" s="10" t="n">
        <v>1000</v>
      </c>
      <c r="D22" s="10" t="n">
        <v>400</v>
      </c>
      <c r="E22" s="16" t="n">
        <f aca="false">(C22*Założenia!$B$3+D22*Założenia!$B$4)/1000000</f>
        <v>0.003</v>
      </c>
    </row>
    <row r="23" customFormat="false" ht="15" hidden="false" customHeight="false" outlineLevel="0" collapsed="false">
      <c r="A23" s="0" t="s">
        <v>69</v>
      </c>
      <c r="B23" s="0" t="s">
        <v>58</v>
      </c>
      <c r="C23" s="10" t="n">
        <v>1200</v>
      </c>
      <c r="D23" s="10" t="n">
        <v>700</v>
      </c>
      <c r="E23" s="16" t="n">
        <f aca="false">(C23*Założenia!$B$3+D23*Założenia!$B$4)/1000000</f>
        <v>0.0047</v>
      </c>
    </row>
    <row r="24" customFormat="false" ht="15" hidden="false" customHeight="false" outlineLevel="0" collapsed="false">
      <c r="A24" s="0" t="s">
        <v>25</v>
      </c>
      <c r="B24" s="0" t="s">
        <v>58</v>
      </c>
      <c r="C24" s="10" t="n">
        <v>1200</v>
      </c>
      <c r="D24" s="10" t="n">
        <v>500</v>
      </c>
      <c r="E24" s="16" t="n">
        <f aca="false">(C24*Założenia!$B$3+D24*Założenia!$B$4)/1000000</f>
        <v>0.0037</v>
      </c>
    </row>
    <row r="25" customFormat="false" ht="15" hidden="false" customHeight="false" outlineLevel="0" collapsed="false">
      <c r="A25" s="0" t="s">
        <v>26</v>
      </c>
      <c r="B25" s="0" t="s">
        <v>58</v>
      </c>
      <c r="C25" s="10" t="n">
        <v>1500</v>
      </c>
      <c r="D25" s="10" t="n">
        <v>600</v>
      </c>
      <c r="E25" s="16" t="n">
        <f aca="false">(C25*Założenia!$B$3+D25*Założenia!$B$4)/1000000</f>
        <v>0.0045</v>
      </c>
    </row>
    <row r="26" customFormat="false" ht="15" hidden="false" customHeight="false" outlineLevel="0" collapsed="false">
      <c r="A26" s="0" t="s">
        <v>70</v>
      </c>
      <c r="B26" s="0" t="s">
        <v>56</v>
      </c>
      <c r="C26" s="10" t="n">
        <v>3000</v>
      </c>
      <c r="D26" s="10" t="n">
        <v>1200</v>
      </c>
      <c r="E26" s="16" t="n">
        <f aca="false">(C26*Założenia!$B$5+D26*Założenia!$B$6)/1000000</f>
        <v>0.027</v>
      </c>
    </row>
    <row r="27" customFormat="false" ht="15" hidden="false" customHeight="false" outlineLevel="0" collapsed="false">
      <c r="A27" s="0" t="s">
        <v>71</v>
      </c>
      <c r="B27" s="0" t="s">
        <v>58</v>
      </c>
      <c r="C27" s="10" t="n">
        <v>1500</v>
      </c>
      <c r="D27" s="10" t="n">
        <v>1200</v>
      </c>
      <c r="E27" s="16" t="n">
        <f aca="false">(C27*Założenia!$B$3+D27*Założenia!$B$4)/1000000</f>
        <v>0.0075</v>
      </c>
    </row>
    <row r="28" customFormat="false" ht="15" hidden="false" customHeight="false" outlineLevel="0" collapsed="false">
      <c r="A28" s="17" t="s">
        <v>72</v>
      </c>
      <c r="B28" s="17"/>
      <c r="C28" s="17"/>
      <c r="D28" s="17"/>
      <c r="E28" s="19" t="n">
        <f aca="false">E26+E27</f>
        <v>0.0345</v>
      </c>
    </row>
    <row r="30" customFormat="false" ht="15" hidden="false" customHeight="false" outlineLevel="0" collapsed="false">
      <c r="A30" s="20" t="s">
        <v>73</v>
      </c>
      <c r="B30" s="20" t="s">
        <v>56</v>
      </c>
      <c r="C30" s="21" t="n">
        <v>4000</v>
      </c>
      <c r="D30" s="21" t="n">
        <v>2250</v>
      </c>
      <c r="E30" s="22" t="n">
        <f aca="false">(C30*Założenia!$B$5+D30*Założenia!$B$6)/1000000</f>
        <v>0.04575</v>
      </c>
    </row>
    <row r="31" customFormat="false" ht="15" hidden="false" customHeight="false" outlineLevel="0" collapsed="false">
      <c r="A31" s="20" t="s">
        <v>74</v>
      </c>
      <c r="B31" s="20" t="s">
        <v>56</v>
      </c>
      <c r="C31" s="21" t="n">
        <v>3000</v>
      </c>
      <c r="D31" s="21" t="n">
        <v>1340</v>
      </c>
      <c r="E31" s="22" t="n">
        <f aca="false">(C31*Założenia!$B$5+D31*Założenia!$B$6)/1000000</f>
        <v>0.0291</v>
      </c>
    </row>
    <row r="33" customFormat="false" ht="15" hidden="false" customHeight="false" outlineLevel="0" collapsed="false">
      <c r="A33" s="1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76</v>
      </c>
    </row>
    <row r="3" customFormat="false" ht="15" hidden="false" customHeight="false" outlineLevel="0" collapsed="false">
      <c r="A3" s="2" t="s">
        <v>77</v>
      </c>
    </row>
    <row r="4" customFormat="false" ht="15" hidden="false" customHeight="false" outlineLevel="0" collapsed="false">
      <c r="A4" s="0" t="s">
        <v>78</v>
      </c>
      <c r="B4" s="23" t="n">
        <f aca="false">'Koszt jednostkowy'!F5</f>
        <v>0.015723</v>
      </c>
    </row>
    <row r="5" customFormat="false" ht="15" hidden="false" customHeight="false" outlineLevel="0" collapsed="false">
      <c r="A5" s="0" t="s">
        <v>79</v>
      </c>
      <c r="B5" s="23" t="n">
        <f aca="false">'Koszt jednostkowy'!F6</f>
        <v>0.0351045</v>
      </c>
    </row>
    <row r="6" customFormat="false" ht="15" hidden="false" customHeight="false" outlineLevel="0" collapsed="false">
      <c r="A6" s="0" t="s">
        <v>80</v>
      </c>
      <c r="B6" s="23" t="n">
        <f aca="false">'Koszt jednostkowy'!E21</f>
        <v>0.102</v>
      </c>
    </row>
    <row r="7" customFormat="false" ht="15" hidden="false" customHeight="false" outlineLevel="0" collapsed="false">
      <c r="A7" s="0" t="s">
        <v>81</v>
      </c>
      <c r="B7" s="23" t="n">
        <f aca="false">'Koszt jednostkowy'!E22</f>
        <v>0.003</v>
      </c>
    </row>
    <row r="8" customFormat="false" ht="15" hidden="false" customHeight="false" outlineLevel="0" collapsed="false">
      <c r="A8" s="0" t="s">
        <v>82</v>
      </c>
      <c r="B8" s="16" t="n">
        <f aca="false">Założenia!B26*'Koszt jednostkowy'!E23+Założenia!B27*'Koszt jednostkowy'!E24+Założenia!B28*'Koszt jednostkowy'!E25+Założenia!B29*'Koszt jednostkowy'!E28</f>
        <v>0.30976</v>
      </c>
    </row>
    <row r="10" customFormat="false" ht="15" hidden="false" customHeight="false" outlineLevel="0" collapsed="false">
      <c r="A10" s="0" t="s">
        <v>83</v>
      </c>
      <c r="B10" s="24" t="n">
        <f aca="false">Założenia!B21*$B$4+Założenia!C21*$B$6+Założenia!D21*$B$7+$B$8</f>
        <v>0.591205</v>
      </c>
    </row>
    <row r="11" customFormat="false" ht="15" hidden="false" customHeight="false" outlineLevel="0" collapsed="false">
      <c r="A11" s="0" t="s">
        <v>84</v>
      </c>
      <c r="B11" s="24" t="n">
        <f aca="false">Założenia!B22*$B$4+Założenia!C22*$B$6+Założenia!D22*$B$7+$B$8</f>
        <v>1.07668</v>
      </c>
    </row>
    <row r="12" customFormat="false" ht="15" hidden="false" customHeight="false" outlineLevel="0" collapsed="false">
      <c r="A12" s="0" t="s">
        <v>85</v>
      </c>
      <c r="B12" s="24" t="n">
        <f aca="false">Założenia!B23*$B$5+Założenia!C23*$B$6+Założenia!D23*$B$7+$B$8</f>
        <v>2.460985</v>
      </c>
    </row>
    <row r="13" customFormat="false" ht="15" hidden="false" customHeight="false" outlineLevel="0" collapsed="false">
      <c r="A13" s="17" t="s">
        <v>86</v>
      </c>
      <c r="B13" s="25" t="n">
        <f aca="false">Założenia!B32*B10+Założenia!B33*B11+Założenia!B34*B12</f>
        <v>0.94809925</v>
      </c>
    </row>
    <row r="14" customFormat="false" ht="15" hidden="false" customHeight="false" outlineLevel="0" collapsed="false">
      <c r="A14" s="26" t="s">
        <v>87</v>
      </c>
      <c r="B14" s="27" t="n">
        <f aca="false">Założenia!B18*$B$5+Założenia!B37*'Koszt jednostkowy'!E14+Założenia!B38*'Koszt jednostkowy'!E20+Założenia!B39*'Koszt jednostkowy'!E21+Założenia!D23*$B$7+$B$8</f>
        <v>4.457985</v>
      </c>
    </row>
    <row r="16" customFormat="false" ht="15" hidden="false" customHeight="false" outlineLevel="0" collapsed="false">
      <c r="A16" s="2" t="s">
        <v>88</v>
      </c>
    </row>
    <row r="17" customFormat="false" ht="15" hidden="false" customHeight="false" outlineLevel="0" collapsed="false">
      <c r="A17" s="15" t="s">
        <v>89</v>
      </c>
      <c r="B17" s="15" t="s">
        <v>90</v>
      </c>
      <c r="C17" s="15" t="s">
        <v>91</v>
      </c>
      <c r="D17" s="15" t="s">
        <v>92</v>
      </c>
      <c r="E17" s="15" t="s">
        <v>93</v>
      </c>
      <c r="F17" s="15" t="s">
        <v>94</v>
      </c>
    </row>
    <row r="18" customFormat="false" ht="15" hidden="false" customHeight="false" outlineLevel="0" collapsed="false">
      <c r="A18" s="0" t="s">
        <v>95</v>
      </c>
      <c r="B18" s="7" t="n">
        <v>19.99</v>
      </c>
      <c r="C18" s="28" t="s">
        <v>96</v>
      </c>
      <c r="D18" s="29" t="n">
        <f aca="false">B18/(1+Założenia!B13)-(Założenia!B14*B18+Założenia!B15)</f>
        <v>14.9521825203252</v>
      </c>
      <c r="E18" s="24" t="n">
        <f aca="false">D18/Założenia!B11</f>
        <v>3.7380456300813</v>
      </c>
      <c r="F18" s="24" t="n">
        <f aca="false">D18/Założenia!B12</f>
        <v>3.98724867208672</v>
      </c>
    </row>
    <row r="19" customFormat="false" ht="15" hidden="false" customHeight="false" outlineLevel="0" collapsed="false">
      <c r="A19" s="0" t="s">
        <v>97</v>
      </c>
      <c r="B19" s="7" t="n">
        <v>24.99</v>
      </c>
      <c r="C19" s="28" t="s">
        <v>96</v>
      </c>
      <c r="D19" s="29" t="n">
        <f aca="false">B19/(1+Założenia!B13)-(Założenia!B14*B19+Założenia!B15)</f>
        <v>18.9422231707317</v>
      </c>
      <c r="E19" s="24" t="n">
        <f aca="false">D19/Założenia!B11</f>
        <v>4.73555579268293</v>
      </c>
      <c r="F19" s="24" t="n">
        <f aca="false">D19/Założenia!B12</f>
        <v>5.05125951219512</v>
      </c>
    </row>
    <row r="20" customFormat="false" ht="15" hidden="false" customHeight="false" outlineLevel="0" collapsed="false">
      <c r="A20" s="0" t="s">
        <v>98</v>
      </c>
      <c r="B20" s="7" t="n">
        <v>179</v>
      </c>
      <c r="C20" s="28" t="s">
        <v>99</v>
      </c>
      <c r="D20" s="29" t="n">
        <f aca="false">(B20/(1+Założenia!B13)-(Założenia!B14*B20+Założenia!B15))/12</f>
        <v>11.8202879403794</v>
      </c>
      <c r="E20" s="24" t="n">
        <f aca="false">D20/Założenia!B11</f>
        <v>2.95507198509485</v>
      </c>
      <c r="F20" s="24" t="n">
        <f aca="false">D20/Założenia!B12</f>
        <v>3.15207678410117</v>
      </c>
    </row>
    <row r="21" customFormat="false" ht="15" hidden="false" customHeight="false" outlineLevel="0" collapsed="false">
      <c r="A21" s="0" t="s">
        <v>100</v>
      </c>
      <c r="B21" s="7" t="n">
        <v>199</v>
      </c>
      <c r="C21" s="28" t="s">
        <v>99</v>
      </c>
      <c r="D21" s="29" t="n">
        <f aca="false">(B21/(1+Założenia!B13)-(Założenia!B14*B21+Założenia!B15))/12</f>
        <v>13.1503014905149</v>
      </c>
      <c r="E21" s="24" t="n">
        <f aca="false">D21/Założenia!B11</f>
        <v>3.28757537262873</v>
      </c>
      <c r="F21" s="24" t="n">
        <f aca="false">D21/Założenia!B12</f>
        <v>3.50674706413731</v>
      </c>
    </row>
    <row r="22" customFormat="false" ht="15" hidden="false" customHeight="false" outlineLevel="0" collapsed="false">
      <c r="A22" s="0" t="s">
        <v>101</v>
      </c>
      <c r="B22" s="7" t="n">
        <v>219</v>
      </c>
      <c r="C22" s="28" t="s">
        <v>99</v>
      </c>
      <c r="D22" s="29" t="n">
        <f aca="false">(B22/(1+Założenia!B13)-(Założenia!B14*B22+Założenia!B15))/12</f>
        <v>14.4803150406504</v>
      </c>
      <c r="E22" s="24" t="n">
        <f aca="false">D22/Założenia!B11</f>
        <v>3.6200787601626</v>
      </c>
      <c r="F22" s="24" t="n">
        <f aca="false">D22/Założenia!B12</f>
        <v>3.86141734417344</v>
      </c>
    </row>
    <row r="25" customFormat="false" ht="15" hidden="false" customHeight="false" outlineLevel="0" collapsed="false">
      <c r="A25" s="2" t="s">
        <v>102</v>
      </c>
    </row>
    <row r="26" customFormat="false" ht="15" hidden="false" customHeight="false" outlineLevel="0" collapsed="false">
      <c r="A26" s="15" t="s">
        <v>89</v>
      </c>
      <c r="B26" s="15" t="s">
        <v>20</v>
      </c>
      <c r="C26" s="15" t="s">
        <v>21</v>
      </c>
      <c r="D26" s="15" t="s">
        <v>103</v>
      </c>
      <c r="E26" s="15" t="s">
        <v>104</v>
      </c>
    </row>
    <row r="27" customFormat="false" ht="15" hidden="false" customHeight="false" outlineLevel="0" collapsed="false">
      <c r="A27" s="0" t="s">
        <v>105</v>
      </c>
      <c r="B27" s="30" t="n">
        <f aca="false">($E$18-$B$10)/$E$18</f>
        <v>0.84184114949203</v>
      </c>
      <c r="C27" s="30" t="n">
        <f aca="false">($E$18-$B$11)/$E$18</f>
        <v>0.711967132948941</v>
      </c>
      <c r="D27" s="30" t="n">
        <f aca="false">($E$18-$B$12)/$E$18</f>
        <v>0.341638587770135</v>
      </c>
      <c r="E27" s="30" t="n">
        <f aca="false">($E$18-$B$13)/$E$18</f>
        <v>0.746364987529759</v>
      </c>
    </row>
    <row r="28" customFormat="false" ht="15" hidden="false" customHeight="false" outlineLevel="0" collapsed="false">
      <c r="A28" s="0" t="s">
        <v>106</v>
      </c>
      <c r="B28" s="30" t="n">
        <f aca="false">($E$19-$B$10)/$E$19</f>
        <v>0.875156153600071</v>
      </c>
      <c r="C28" s="30" t="n">
        <f aca="false">($E$19-$B$11)/$E$19</f>
        <v>0.772639147940435</v>
      </c>
      <c r="D28" s="30" t="n">
        <f aca="false">($E$19-$B$12)/$E$19</f>
        <v>0.480317599931448</v>
      </c>
      <c r="E28" s="30" t="n">
        <f aca="false">($E$19-$B$13)/$E$19</f>
        <v>0.799791346252336</v>
      </c>
    </row>
    <row r="29" customFormat="false" ht="15" hidden="false" customHeight="false" outlineLevel="0" collapsed="false">
      <c r="A29" s="0" t="s">
        <v>107</v>
      </c>
      <c r="B29" s="30" t="n">
        <f aca="false">($E$20-$B$10)/$E$20</f>
        <v>0.799935499716423</v>
      </c>
      <c r="C29" s="30" t="n">
        <f aca="false">($E$20-$B$11)/$E$20</f>
        <v>0.635650161677723</v>
      </c>
      <c r="D29" s="30" t="n">
        <f aca="false">($E$20-$B$12)/$E$20</f>
        <v>0.167199644403584</v>
      </c>
      <c r="E29" s="30" t="n">
        <f aca="false">($E$20-$B$13)/$E$20</f>
        <v>0.679162045871594</v>
      </c>
    </row>
    <row r="30" customFormat="false" ht="15" hidden="false" customHeight="false" outlineLevel="0" collapsed="false">
      <c r="A30" s="0" t="s">
        <v>108</v>
      </c>
      <c r="B30" s="30" t="n">
        <f aca="false">($E$21-$B$10)/$E$21</f>
        <v>0.820169902438685</v>
      </c>
      <c r="C30" s="30" t="n">
        <f aca="false">($E$21-$B$11)/$E$21</f>
        <v>0.67250028426296</v>
      </c>
      <c r="D30" s="30" t="n">
        <f aca="false">($E$21-$B$12)/$E$21</f>
        <v>0.251428569367762</v>
      </c>
      <c r="E30" s="30" t="n">
        <f aca="false">($E$21-$B$13)/$E$21</f>
        <v>0.711611402770089</v>
      </c>
    </row>
    <row r="31" customFormat="false" ht="15" hidden="false" customHeight="false" outlineLevel="0" collapsed="false">
      <c r="A31" s="0" t="s">
        <v>109</v>
      </c>
      <c r="B31" s="30" t="n">
        <f aca="false">($E$22-$B$10)/$E$22</f>
        <v>0.836687254844852</v>
      </c>
      <c r="C31" s="30" t="n">
        <f aca="false">($E$22-$B$11)/$E$22</f>
        <v>0.702581056564737</v>
      </c>
      <c r="D31" s="30" t="n">
        <f aca="false">($E$22-$B$12)/$E$22</f>
        <v>0.320184680211361</v>
      </c>
      <c r="E31" s="30" t="n">
        <f aca="false">($E$22-$B$13)/$E$22</f>
        <v>0.738099827983462</v>
      </c>
    </row>
    <row r="34" customFormat="false" ht="15" hidden="false" customHeight="false" outlineLevel="0" collapsed="false">
      <c r="A34" s="2" t="s">
        <v>110</v>
      </c>
      <c r="E34" s="31" t="n">
        <f aca="false">($E$19-$B$14)/$E$19</f>
        <v>0.0586141954259756</v>
      </c>
    </row>
    <row r="36" customFormat="false" ht="15" hidden="false" customHeight="false" outlineLevel="0" collapsed="false">
      <c r="A36" s="2" t="s">
        <v>111</v>
      </c>
      <c r="B36" s="32" t="n">
        <f aca="false">'Koszt jednostkowy'!E13+'Koszt jednostkowy'!E30+'Koszt jednostkowy'!E31+3*'Koszt jednostkowy'!F5+'Koszt jednostkowy'!E28+'Koszt jednostkowy'!E22</f>
        <v>0.259119</v>
      </c>
    </row>
    <row r="37" customFormat="false" ht="15" hidden="false" customHeight="false" outlineLevel="0" collapsed="false">
      <c r="A37" s="1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4" min="3" style="0" width="40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15" t="s">
        <v>63</v>
      </c>
      <c r="B2" s="15" t="s">
        <v>114</v>
      </c>
      <c r="C2" s="15" t="s">
        <v>115</v>
      </c>
      <c r="D2" s="15" t="s">
        <v>116</v>
      </c>
    </row>
    <row r="3" customFormat="false" ht="72" hidden="false" customHeight="true" outlineLevel="0" collapsed="false">
      <c r="A3" s="33" t="s">
        <v>117</v>
      </c>
      <c r="B3" s="34" t="s">
        <v>118</v>
      </c>
      <c r="C3" s="34" t="s">
        <v>119</v>
      </c>
      <c r="D3" s="34" t="s">
        <v>120</v>
      </c>
    </row>
    <row r="4" customFormat="false" ht="72" hidden="false" customHeight="true" outlineLevel="0" collapsed="false">
      <c r="A4" s="35" t="s">
        <v>121</v>
      </c>
      <c r="B4" s="36" t="s">
        <v>122</v>
      </c>
      <c r="C4" s="36" t="s">
        <v>123</v>
      </c>
      <c r="D4" s="37" t="s">
        <v>124</v>
      </c>
    </row>
    <row r="5" customFormat="false" ht="72" hidden="false" customHeight="true" outlineLevel="0" collapsed="false">
      <c r="A5" s="33" t="s">
        <v>125</v>
      </c>
      <c r="B5" s="34" t="s">
        <v>126</v>
      </c>
      <c r="C5" s="34" t="s">
        <v>127</v>
      </c>
      <c r="D5" s="37" t="s">
        <v>128</v>
      </c>
    </row>
    <row r="6" customFormat="false" ht="72" hidden="false" customHeight="true" outlineLevel="0" collapsed="false">
      <c r="A6" s="35" t="s">
        <v>129</v>
      </c>
      <c r="B6" s="36" t="s">
        <v>130</v>
      </c>
      <c r="C6" s="36" t="s">
        <v>131</v>
      </c>
      <c r="D6" s="36" t="s">
        <v>132</v>
      </c>
    </row>
    <row r="7" customFormat="false" ht="72" hidden="false" customHeight="true" outlineLevel="0" collapsed="false">
      <c r="A7" s="33" t="s">
        <v>133</v>
      </c>
      <c r="B7" s="34" t="s">
        <v>134</v>
      </c>
      <c r="C7" s="34" t="s">
        <v>135</v>
      </c>
      <c r="D7" s="34" t="s">
        <v>136</v>
      </c>
    </row>
    <row r="8" customFormat="false" ht="72" hidden="false" customHeight="true" outlineLevel="0" collapsed="false">
      <c r="A8" s="35" t="s">
        <v>137</v>
      </c>
      <c r="B8" s="36" t="s">
        <v>138</v>
      </c>
      <c r="C8" s="36" t="s">
        <v>139</v>
      </c>
      <c r="D8" s="36" t="s">
        <v>140</v>
      </c>
    </row>
    <row r="9" customFormat="false" ht="72" hidden="false" customHeight="true" outlineLevel="0" collapsed="false">
      <c r="A9" s="33" t="s">
        <v>141</v>
      </c>
      <c r="B9" s="34" t="s">
        <v>142</v>
      </c>
      <c r="C9" s="34" t="s">
        <v>143</v>
      </c>
      <c r="D9" s="34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145</v>
      </c>
    </row>
    <row r="3" customFormat="false" ht="15" hidden="false" customHeight="false" outlineLevel="0" collapsed="false">
      <c r="A3" s="38" t="s">
        <v>146</v>
      </c>
      <c r="B3" s="38"/>
      <c r="C3" s="38"/>
      <c r="D3" s="38"/>
    </row>
    <row r="4" customFormat="false" ht="43.5" hidden="false" customHeight="true" outlineLevel="0" collapsed="false">
      <c r="A4" s="2" t="s">
        <v>147</v>
      </c>
      <c r="B4" s="39" t="s">
        <v>148</v>
      </c>
      <c r="C4" s="39"/>
      <c r="D4" s="39"/>
    </row>
    <row r="5" customFormat="false" ht="15" hidden="false" customHeight="false" outlineLevel="0" collapsed="false">
      <c r="A5" s="38" t="s">
        <v>149</v>
      </c>
      <c r="B5" s="38"/>
      <c r="C5" s="38"/>
      <c r="D5" s="38"/>
    </row>
    <row r="6" customFormat="false" ht="43.5" hidden="false" customHeight="true" outlineLevel="0" collapsed="false">
      <c r="A6" s="2" t="s">
        <v>150</v>
      </c>
      <c r="B6" s="39" t="s">
        <v>151</v>
      </c>
      <c r="C6" s="39"/>
      <c r="D6" s="39"/>
    </row>
    <row r="7" customFormat="false" ht="43.5" hidden="false" customHeight="true" outlineLevel="0" collapsed="false">
      <c r="A7" s="2" t="s">
        <v>152</v>
      </c>
      <c r="B7" s="39" t="s">
        <v>153</v>
      </c>
      <c r="C7" s="39"/>
      <c r="D7" s="39"/>
    </row>
    <row r="8" customFormat="false" ht="43.5" hidden="false" customHeight="true" outlineLevel="0" collapsed="false">
      <c r="A8" s="2" t="s">
        <v>154</v>
      </c>
      <c r="B8" s="39" t="s">
        <v>155</v>
      </c>
      <c r="C8" s="39"/>
      <c r="D8" s="39"/>
    </row>
    <row r="9" customFormat="false" ht="43.5" hidden="false" customHeight="true" outlineLevel="0" collapsed="false">
      <c r="A9" s="2" t="s">
        <v>156</v>
      </c>
      <c r="B9" s="39" t="s">
        <v>157</v>
      </c>
      <c r="C9" s="39"/>
      <c r="D9" s="39"/>
    </row>
    <row r="10" customFormat="false" ht="15" hidden="false" customHeight="false" outlineLevel="0" collapsed="false">
      <c r="A10" s="38" t="s">
        <v>158</v>
      </c>
      <c r="B10" s="38"/>
      <c r="C10" s="38"/>
      <c r="D10" s="38"/>
    </row>
    <row r="11" customFormat="false" ht="43.5" hidden="false" customHeight="true" outlineLevel="0" collapsed="false">
      <c r="A11" s="40" t="s">
        <v>159</v>
      </c>
      <c r="B11" s="39" t="s">
        <v>160</v>
      </c>
      <c r="C11" s="39"/>
      <c r="D11" s="39"/>
    </row>
    <row r="12" customFormat="false" ht="43.5" hidden="false" customHeight="true" outlineLevel="0" collapsed="false">
      <c r="A12" s="40" t="s">
        <v>161</v>
      </c>
      <c r="B12" s="39" t="s">
        <v>162</v>
      </c>
      <c r="C12" s="39"/>
      <c r="D12" s="39"/>
    </row>
    <row r="13" customFormat="false" ht="43.5" hidden="false" customHeight="true" outlineLevel="0" collapsed="false">
      <c r="A13" s="2" t="s">
        <v>163</v>
      </c>
      <c r="B13" s="39" t="s">
        <v>164</v>
      </c>
      <c r="C13" s="39"/>
      <c r="D13" s="39"/>
    </row>
    <row r="14" customFormat="false" ht="15" hidden="false" customHeight="false" outlineLevel="0" collapsed="false">
      <c r="A14" s="38" t="s">
        <v>165</v>
      </c>
      <c r="B14" s="38"/>
      <c r="C14" s="38"/>
      <c r="D14" s="38"/>
    </row>
    <row r="15" customFormat="false" ht="43.5" hidden="false" customHeight="true" outlineLevel="0" collapsed="false">
      <c r="A15" s="2" t="s">
        <v>166</v>
      </c>
      <c r="B15" s="39" t="s">
        <v>167</v>
      </c>
      <c r="C15" s="39"/>
      <c r="D15" s="39"/>
    </row>
    <row r="16" customFormat="false" ht="15" hidden="false" customHeight="false" outlineLevel="0" collapsed="false">
      <c r="A16" s="38" t="s">
        <v>168</v>
      </c>
      <c r="B16" s="38"/>
      <c r="C16" s="38"/>
      <c r="D16" s="38"/>
    </row>
    <row r="17" customFormat="false" ht="43.5" hidden="false" customHeight="true" outlineLevel="0" collapsed="false">
      <c r="A17" s="2" t="s">
        <v>169</v>
      </c>
      <c r="B17" s="39" t="s">
        <v>170</v>
      </c>
      <c r="C17" s="39"/>
      <c r="D17" s="39"/>
    </row>
    <row r="19" customFormat="false" ht="15" hidden="false" customHeight="false" outlineLevel="0" collapsed="false">
      <c r="A19" s="41" t="s">
        <v>171</v>
      </c>
      <c r="B19" s="41"/>
      <c r="C19" s="41"/>
      <c r="D19" s="41"/>
      <c r="E19" s="41"/>
      <c r="F19" s="41"/>
    </row>
    <row r="20" customFormat="false" ht="15" hidden="false" customHeight="false" outlineLevel="0" collapsed="false">
      <c r="A20" s="15" t="s">
        <v>172</v>
      </c>
      <c r="B20" s="15" t="s">
        <v>173</v>
      </c>
      <c r="C20" s="15" t="s">
        <v>174</v>
      </c>
      <c r="D20" s="15" t="s">
        <v>175</v>
      </c>
      <c r="E20" s="15" t="s">
        <v>176</v>
      </c>
      <c r="F20" s="15" t="s">
        <v>177</v>
      </c>
    </row>
    <row r="21" customFormat="false" ht="15" hidden="false" customHeight="false" outlineLevel="0" collapsed="false">
      <c r="A21" s="42" t="s">
        <v>178</v>
      </c>
      <c r="B21" s="42" t="n">
        <v>50</v>
      </c>
      <c r="C21" s="43" t="n">
        <v>9.99</v>
      </c>
      <c r="D21" s="44" t="n">
        <f aca="false">C21/(1+Założenia!$B$13)-(Założenia!$B$14*C21+Założenia!$B$15)</f>
        <v>6.9721012195122</v>
      </c>
      <c r="E21" s="30" t="n">
        <f aca="false">(D21-B21*'Koszt jednostkowy'!$F$5*Założenia!$B$11)/D21</f>
        <v>0.548973845761233</v>
      </c>
      <c r="F21" s="30" t="n">
        <f aca="false">(D21-B21*'Koszt jednostkowy'!$F$6*Założenia!$B$11)/D21</f>
        <v>-0.00699914974717151</v>
      </c>
    </row>
    <row r="22" customFormat="false" ht="15" hidden="false" customHeight="false" outlineLevel="0" collapsed="false">
      <c r="A22" s="42" t="s">
        <v>179</v>
      </c>
      <c r="B22" s="42" t="n">
        <v>150</v>
      </c>
      <c r="C22" s="43" t="n">
        <v>24.99</v>
      </c>
      <c r="D22" s="44" t="n">
        <f aca="false">C22/(1+Założenia!$B$13)-(Założenia!$B$14*C22+Założenia!$B$15)</f>
        <v>18.9422231707317</v>
      </c>
      <c r="E22" s="30" t="n">
        <f aca="false">(D22-B22*'Koszt jednostkowy'!$F$5*Założenia!$B$11)/D22</f>
        <v>0.501969757458222</v>
      </c>
      <c r="F22" s="30" t="n">
        <f aca="false">(D22-B22*'Koszt jednostkowy'!$F$6*Założenia!$B$11)/D22</f>
        <v>-0.111944453940587</v>
      </c>
    </row>
    <row r="23" customFormat="false" ht="15" hidden="false" customHeight="false" outlineLevel="0" collapsed="false">
      <c r="A23" s="42" t="s">
        <v>180</v>
      </c>
      <c r="B23" s="42" t="n">
        <v>500</v>
      </c>
      <c r="C23" s="43" t="n">
        <v>199</v>
      </c>
      <c r="D23" s="44" t="n">
        <f aca="false">C23/(1+Założenia!$B$13)-(Założenia!$B$14*C23+Założenia!$B$15)</f>
        <v>157.803617886179</v>
      </c>
      <c r="E23" s="30" t="n">
        <f aca="false">(D23-B23*'Koszt jednostkowy'!$F$5*Założenia!$B$11)/D23</f>
        <v>0.800727002199142</v>
      </c>
      <c r="F23" s="30" t="n">
        <f aca="false">(D23-B23*'Koszt jednostkowy'!$F$6*Założenia!$B$11)/D23</f>
        <v>0.55508624618074</v>
      </c>
    </row>
    <row r="24" customFormat="false" ht="15" hidden="false" customHeight="false" outlineLevel="0" collapsed="false">
      <c r="A24" s="12" t="s">
        <v>181</v>
      </c>
    </row>
  </sheetData>
  <mergeCells count="16">
    <mergeCell ref="A3:D3"/>
    <mergeCell ref="B4:D4"/>
    <mergeCell ref="A5:D5"/>
    <mergeCell ref="B6:D6"/>
    <mergeCell ref="B7:D7"/>
    <mergeCell ref="B8:D8"/>
    <mergeCell ref="B9:D9"/>
    <mergeCell ref="A10:D10"/>
    <mergeCell ref="B11:D11"/>
    <mergeCell ref="B12:D12"/>
    <mergeCell ref="B13:D13"/>
    <mergeCell ref="A14:D14"/>
    <mergeCell ref="B15:D15"/>
    <mergeCell ref="A16:D16"/>
    <mergeCell ref="B17:D17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2026-06-25T18:45:03Z</dcterms:created>
  <dc:creator>openpyxl</dc:creator>
  <dc:description/>
  <dc:language>en-US</dc:language>
  <cp:lastModifiedBy/>
  <dcterms:modified xsi:type="dcterms:W3CDTF">2026-06-25T18:45:03Z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